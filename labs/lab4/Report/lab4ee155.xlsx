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007"/>
  <workbookPr showInkAnnotation="0" autoCompressPictures="0"/>
  <bookViews>
    <workbookView xWindow="0" yWindow="0" windowWidth="28800" windowHeight="165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38" i="1" l="1"/>
  <c r="R36" i="1"/>
  <c r="U26" i="1"/>
  <c r="U25" i="1"/>
  <c r="I3" i="1"/>
  <c r="T26" i="1"/>
  <c r="T25" i="1"/>
  <c r="S26" i="1"/>
  <c r="S25" i="1"/>
  <c r="R35" i="1"/>
  <c r="H3" i="1"/>
  <c r="R16" i="1"/>
  <c r="R15" i="1"/>
  <c r="R14" i="1"/>
  <c r="R13" i="1"/>
  <c r="R6" i="1"/>
  <c r="R5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3" i="1"/>
</calcChain>
</file>

<file path=xl/sharedStrings.xml><?xml version="1.0" encoding="utf-8"?>
<sst xmlns="http://schemas.openxmlformats.org/spreadsheetml/2006/main" count="50" uniqueCount="43">
  <si>
    <t>Data</t>
  </si>
  <si>
    <t>ms</t>
  </si>
  <si>
    <t>Current</t>
  </si>
  <si>
    <t>ms*2</t>
  </si>
  <si>
    <t>ms/rotation</t>
  </si>
  <si>
    <t>rotation/ms</t>
  </si>
  <si>
    <t>rotation/s</t>
  </si>
  <si>
    <t>rotation/min</t>
  </si>
  <si>
    <t>V_in</t>
  </si>
  <si>
    <t>R</t>
  </si>
  <si>
    <t>V_emf</t>
  </si>
  <si>
    <t>K_e</t>
  </si>
  <si>
    <t>Ohms</t>
  </si>
  <si>
    <t>(measured at rest with multimeter)</t>
  </si>
  <si>
    <t>K_v</t>
  </si>
  <si>
    <t>RPM/V_emf</t>
  </si>
  <si>
    <t>(backed out of plot)</t>
  </si>
  <si>
    <t>V/rad/s</t>
  </si>
  <si>
    <t>rad/s</t>
  </si>
  <si>
    <t>Max torque at 24V</t>
  </si>
  <si>
    <t>Max current at 24V</t>
  </si>
  <si>
    <t>Amps</t>
  </si>
  <si>
    <t>Nm</t>
  </si>
  <si>
    <t>w at max power</t>
  </si>
  <si>
    <t>torque at max power</t>
  </si>
  <si>
    <t>N*m</t>
  </si>
  <si>
    <t>max power</t>
  </si>
  <si>
    <t>W</t>
  </si>
  <si>
    <t>@ 24V</t>
  </si>
  <si>
    <t>current max power</t>
  </si>
  <si>
    <t>40ms window</t>
  </si>
  <si>
    <t>t=0</t>
  </si>
  <si>
    <t>t=40ms</t>
  </si>
  <si>
    <t>rms current</t>
  </si>
  <si>
    <t>LCR max</t>
  </si>
  <si>
    <t>2.7mH</t>
  </si>
  <si>
    <t>min</t>
  </si>
  <si>
    <t>Measurement of Moment of Inertia</t>
  </si>
  <si>
    <t xml:space="preserve">Torque </t>
  </si>
  <si>
    <t>2*ms</t>
  </si>
  <si>
    <t>Alpha</t>
  </si>
  <si>
    <t>J</t>
  </si>
  <si>
    <t>rad/s^2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</si>
</sst>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02157042869641"/>
                  <c:y val="0.00925925925925926"/>
                </c:manualLayout>
              </c:layout>
              <c:numFmt formatCode="General" sourceLinked="0"/>
            </c:trendlineLbl>
          </c:trendline>
          <c:xVal>
            <c:numRef>
              <c:f>Sheet1!$H$3:$H$20</c:f>
              <c:numCache>
                <c:formatCode>General</c:formatCode>
                <c:ptCount val="18"/>
                <c:pt idx="0">
                  <c:v>-0.00800000000000001</c:v>
                </c:pt>
                <c:pt idx="1">
                  <c:v>0.492</c:v>
                </c:pt>
                <c:pt idx="2">
                  <c:v>0.992</c:v>
                </c:pt>
                <c:pt idx="3">
                  <c:v>1.492</c:v>
                </c:pt>
                <c:pt idx="4">
                  <c:v>1.992</c:v>
                </c:pt>
                <c:pt idx="5">
                  <c:v>2.492</c:v>
                </c:pt>
                <c:pt idx="6">
                  <c:v>3.492</c:v>
                </c:pt>
                <c:pt idx="7">
                  <c:v>4.492</c:v>
                </c:pt>
                <c:pt idx="8">
                  <c:v>5.492</c:v>
                </c:pt>
                <c:pt idx="9">
                  <c:v>8.492</c:v>
                </c:pt>
                <c:pt idx="10">
                  <c:v>10.492</c:v>
                </c:pt>
                <c:pt idx="11">
                  <c:v>12.492</c:v>
                </c:pt>
                <c:pt idx="12">
                  <c:v>14.492</c:v>
                </c:pt>
                <c:pt idx="13">
                  <c:v>15.492</c:v>
                </c:pt>
                <c:pt idx="14">
                  <c:v>18.492</c:v>
                </c:pt>
                <c:pt idx="15">
                  <c:v>20.492</c:v>
                </c:pt>
                <c:pt idx="16">
                  <c:v>21.492</c:v>
                </c:pt>
                <c:pt idx="17">
                  <c:v>22.492</c:v>
                </c:pt>
              </c:numCache>
            </c:numRef>
          </c:xVal>
          <c:yVal>
            <c:numRef>
              <c:f>Sheet1!$G$3:$G$20</c:f>
              <c:numCache>
                <c:formatCode>General</c:formatCode>
                <c:ptCount val="18"/>
                <c:pt idx="0">
                  <c:v>200.0</c:v>
                </c:pt>
                <c:pt idx="1">
                  <c:v>375.0</c:v>
                </c:pt>
                <c:pt idx="2">
                  <c:v>526.3157894736841</c:v>
                </c:pt>
                <c:pt idx="3">
                  <c:v>750.0</c:v>
                </c:pt>
                <c:pt idx="4">
                  <c:v>882.3529411764705</c:v>
                </c:pt>
                <c:pt idx="5">
                  <c:v>1071.428571428572</c:v>
                </c:pt>
                <c:pt idx="6">
                  <c:v>1304.347826086957</c:v>
                </c:pt>
                <c:pt idx="7">
                  <c:v>1666.666666666667</c:v>
                </c:pt>
                <c:pt idx="8">
                  <c:v>2142.857142857143</c:v>
                </c:pt>
                <c:pt idx="9">
                  <c:v>3000.0</c:v>
                </c:pt>
                <c:pt idx="10">
                  <c:v>3750.0</c:v>
                </c:pt>
                <c:pt idx="11">
                  <c:v>4615.384615384616</c:v>
                </c:pt>
                <c:pt idx="12">
                  <c:v>5172.413793103448</c:v>
                </c:pt>
                <c:pt idx="13">
                  <c:v>5357.142857142858</c:v>
                </c:pt>
                <c:pt idx="14">
                  <c:v>6000.0</c:v>
                </c:pt>
                <c:pt idx="15">
                  <c:v>7317.073170731708</c:v>
                </c:pt>
                <c:pt idx="16">
                  <c:v>7978.723404255318</c:v>
                </c:pt>
                <c:pt idx="17">
                  <c:v>8426.966292134831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678360"/>
        <c:axId val="2079675256"/>
      </c:scatterChart>
      <c:valAx>
        <c:axId val="2079678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V_emf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79675256"/>
        <c:crosses val="autoZero"/>
        <c:crossBetween val="midCat"/>
      </c:valAx>
      <c:valAx>
        <c:axId val="2079675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RPM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796783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002187226597"/>
                  <c:y val="-0.0324074074074074"/>
                </c:manualLayout>
              </c:layout>
              <c:numFmt formatCode="General" sourceLinked="0"/>
            </c:trendlineLbl>
          </c:trendline>
          <c:xVal>
            <c:numRef>
              <c:f>Sheet1!$I$3:$I$20</c:f>
              <c:numCache>
                <c:formatCode>General</c:formatCode>
                <c:ptCount val="18"/>
                <c:pt idx="0">
                  <c:v>20.94395102393196</c:v>
                </c:pt>
                <c:pt idx="1">
                  <c:v>39.26990816987242</c:v>
                </c:pt>
                <c:pt idx="2">
                  <c:v>55.11566058929461</c:v>
                </c:pt>
                <c:pt idx="3">
                  <c:v>78.53981633974483</c:v>
                </c:pt>
                <c:pt idx="4">
                  <c:v>92.39978392911156</c:v>
                </c:pt>
                <c:pt idx="5">
                  <c:v>112.1997376282069</c:v>
                </c:pt>
                <c:pt idx="6">
                  <c:v>136.5909849386867</c:v>
                </c:pt>
                <c:pt idx="7">
                  <c:v>174.5329251994329</c:v>
                </c:pt>
                <c:pt idx="8">
                  <c:v>224.3994752564138</c:v>
                </c:pt>
                <c:pt idx="9">
                  <c:v>314.1592653589793</c:v>
                </c:pt>
                <c:pt idx="10">
                  <c:v>392.6990816987241</c:v>
                </c:pt>
                <c:pt idx="11">
                  <c:v>483.3219467061221</c:v>
                </c:pt>
                <c:pt idx="12">
                  <c:v>541.6539057913436</c:v>
                </c:pt>
                <c:pt idx="13">
                  <c:v>560.9986881410346</c:v>
                </c:pt>
                <c:pt idx="14">
                  <c:v>628.3185307179587</c:v>
                </c:pt>
                <c:pt idx="15">
                  <c:v>766.242110631657</c:v>
                </c:pt>
                <c:pt idx="16">
                  <c:v>835.5299610611151</c:v>
                </c:pt>
                <c:pt idx="17">
                  <c:v>882.4698465139868</c:v>
                </c:pt>
              </c:numCache>
            </c:numRef>
          </c:xVal>
          <c:yVal>
            <c:numRef>
              <c:f>Sheet1!$H$3:$H$20</c:f>
              <c:numCache>
                <c:formatCode>General</c:formatCode>
                <c:ptCount val="18"/>
                <c:pt idx="0">
                  <c:v>-0.00800000000000001</c:v>
                </c:pt>
                <c:pt idx="1">
                  <c:v>0.492</c:v>
                </c:pt>
                <c:pt idx="2">
                  <c:v>0.992</c:v>
                </c:pt>
                <c:pt idx="3">
                  <c:v>1.492</c:v>
                </c:pt>
                <c:pt idx="4">
                  <c:v>1.992</c:v>
                </c:pt>
                <c:pt idx="5">
                  <c:v>2.492</c:v>
                </c:pt>
                <c:pt idx="6">
                  <c:v>3.492</c:v>
                </c:pt>
                <c:pt idx="7">
                  <c:v>4.492</c:v>
                </c:pt>
                <c:pt idx="8">
                  <c:v>5.492</c:v>
                </c:pt>
                <c:pt idx="9">
                  <c:v>8.492</c:v>
                </c:pt>
                <c:pt idx="10">
                  <c:v>10.492</c:v>
                </c:pt>
                <c:pt idx="11">
                  <c:v>12.492</c:v>
                </c:pt>
                <c:pt idx="12">
                  <c:v>14.492</c:v>
                </c:pt>
                <c:pt idx="13">
                  <c:v>15.492</c:v>
                </c:pt>
                <c:pt idx="14">
                  <c:v>18.492</c:v>
                </c:pt>
                <c:pt idx="15">
                  <c:v>20.492</c:v>
                </c:pt>
                <c:pt idx="16">
                  <c:v>21.492</c:v>
                </c:pt>
                <c:pt idx="17">
                  <c:v>22.492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134360"/>
        <c:axId val="2080106760"/>
      </c:scatterChart>
      <c:valAx>
        <c:axId val="2077134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</a:t>
                </a:r>
                <a:r>
                  <a:rPr lang="en-US" baseline="0"/>
                  <a:t> (rad/s)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0106760"/>
        <c:crosses val="autoZero"/>
        <c:crossBetween val="midCat"/>
      </c:valAx>
      <c:valAx>
        <c:axId val="20801067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V_emf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771343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736600</xdr:colOff>
      <xdr:row>1</xdr:row>
      <xdr:rowOff>25400</xdr:rowOff>
    </xdr:from>
    <xdr:to>
      <xdr:col>15</xdr:col>
      <xdr:colOff>355600</xdr:colOff>
      <xdr:row>15</xdr:row>
      <xdr:rowOff>101600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774700</xdr:colOff>
      <xdr:row>17</xdr:row>
      <xdr:rowOff>177800</xdr:rowOff>
    </xdr:from>
    <xdr:to>
      <xdr:col>15</xdr:col>
      <xdr:colOff>393700</xdr:colOff>
      <xdr:row>32</xdr:row>
      <xdr:rowOff>63500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Views>
    <sheetView tabSelected="1" topLeftCell="C1" workbookViewId="0">
      <selection activeCell="S38" sqref="S38"/>
    </sheetView>
  </sheetViews>
  <sheetFormatPr baseColWidth="10" defaultRowHeight="15" x14ac:dyDescent="0"/>
  <cols>
    <col min="4" max="4" width="18" bestFit="1" customWidth="1"/>
    <col min="17" max="17" width="18.83203125" bestFit="1" customWidth="1"/>
  </cols>
  <sheetData>
    <row r="1" spans="1:20">
      <c r="A1" t="s">
        <v>0</v>
      </c>
      <c r="D1" t="s">
        <v>4</v>
      </c>
      <c r="E1" t="s">
        <v>5</v>
      </c>
      <c r="F1" t="s">
        <v>6</v>
      </c>
      <c r="G1" t="s">
        <v>7</v>
      </c>
      <c r="H1" t="s">
        <v>10</v>
      </c>
      <c r="I1" t="s">
        <v>18</v>
      </c>
      <c r="Q1" t="s">
        <v>9</v>
      </c>
      <c r="R1">
        <v>2.6</v>
      </c>
      <c r="S1" t="s">
        <v>12</v>
      </c>
      <c r="T1" t="s">
        <v>13</v>
      </c>
    </row>
    <row r="2" spans="1:20">
      <c r="A2" t="s">
        <v>8</v>
      </c>
      <c r="B2" t="s">
        <v>2</v>
      </c>
      <c r="C2" t="s">
        <v>1</v>
      </c>
      <c r="D2" t="s">
        <v>3</v>
      </c>
      <c r="Q2" t="s">
        <v>14</v>
      </c>
      <c r="R2">
        <v>350</v>
      </c>
      <c r="S2" t="s">
        <v>15</v>
      </c>
      <c r="T2" t="s">
        <v>16</v>
      </c>
    </row>
    <row r="3" spans="1:20">
      <c r="A3">
        <v>1.5</v>
      </c>
      <c r="B3">
        <v>0.57999999999999996</v>
      </c>
      <c r="C3">
        <v>150</v>
      </c>
      <c r="D3">
        <f>C3*2</f>
        <v>300</v>
      </c>
      <c r="E3">
        <f>1/D3</f>
        <v>3.3333333333333335E-3</v>
      </c>
      <c r="F3">
        <f>E3*1000</f>
        <v>3.3333333333333335</v>
      </c>
      <c r="G3">
        <f>F3*60</f>
        <v>200</v>
      </c>
      <c r="H3">
        <f>A3-B3*R$1</f>
        <v>-8.0000000000000071E-3</v>
      </c>
      <c r="I3">
        <f>F3*2*PI()</f>
        <v>20.943951023931955</v>
      </c>
      <c r="Q3" t="s">
        <v>11</v>
      </c>
      <c r="R3">
        <v>2.7099999999999999E-2</v>
      </c>
      <c r="S3" t="s">
        <v>17</v>
      </c>
      <c r="T3" t="s">
        <v>16</v>
      </c>
    </row>
    <row r="4" spans="1:20">
      <c r="A4">
        <v>2</v>
      </c>
      <c r="B4">
        <v>0.57999999999999996</v>
      </c>
      <c r="C4">
        <v>80</v>
      </c>
      <c r="D4">
        <f t="shared" ref="D4:D20" si="0">C4*2</f>
        <v>160</v>
      </c>
      <c r="E4">
        <f t="shared" ref="E4:E20" si="1">1/D4</f>
        <v>6.2500000000000003E-3</v>
      </c>
      <c r="F4">
        <f t="shared" ref="F4:F20" si="2">E4*1000</f>
        <v>6.25</v>
      </c>
      <c r="G4">
        <f t="shared" ref="G4:G20" si="3">F4*60</f>
        <v>375</v>
      </c>
      <c r="H4">
        <f>A4-B4*R$1</f>
        <v>0.49199999999999999</v>
      </c>
      <c r="I4">
        <f t="shared" ref="I4:I20" si="4">F4*2*PI()</f>
        <v>39.269908169872416</v>
      </c>
    </row>
    <row r="5" spans="1:20">
      <c r="A5">
        <v>2.5</v>
      </c>
      <c r="B5">
        <v>0.57999999999999996</v>
      </c>
      <c r="C5">
        <v>57</v>
      </c>
      <c r="D5">
        <f t="shared" si="0"/>
        <v>114</v>
      </c>
      <c r="E5">
        <f t="shared" si="1"/>
        <v>8.771929824561403E-3</v>
      </c>
      <c r="F5">
        <f t="shared" si="2"/>
        <v>8.7719298245614024</v>
      </c>
      <c r="G5">
        <f t="shared" si="3"/>
        <v>526.31578947368416</v>
      </c>
      <c r="H5">
        <f>A5-B5*R$1</f>
        <v>0.99199999999999999</v>
      </c>
      <c r="I5">
        <f t="shared" si="4"/>
        <v>55.115660589294606</v>
      </c>
      <c r="Q5" t="s">
        <v>20</v>
      </c>
      <c r="R5">
        <f>24/R1</f>
        <v>9.2307692307692299</v>
      </c>
      <c r="S5" t="s">
        <v>21</v>
      </c>
    </row>
    <row r="6" spans="1:20">
      <c r="A6">
        <v>3</v>
      </c>
      <c r="B6">
        <v>0.57999999999999996</v>
      </c>
      <c r="C6">
        <v>40</v>
      </c>
      <c r="D6">
        <f t="shared" si="0"/>
        <v>80</v>
      </c>
      <c r="E6">
        <f t="shared" si="1"/>
        <v>1.2500000000000001E-2</v>
      </c>
      <c r="F6">
        <f t="shared" si="2"/>
        <v>12.5</v>
      </c>
      <c r="G6">
        <f t="shared" si="3"/>
        <v>750</v>
      </c>
      <c r="H6">
        <f>A6-B6*R$1</f>
        <v>1.492</v>
      </c>
      <c r="I6">
        <f t="shared" si="4"/>
        <v>78.539816339744831</v>
      </c>
      <c r="Q6" t="s">
        <v>19</v>
      </c>
      <c r="R6">
        <f>R5*R3</f>
        <v>0.25015384615384612</v>
      </c>
      <c r="S6" t="s">
        <v>22</v>
      </c>
    </row>
    <row r="7" spans="1:20">
      <c r="A7">
        <v>3.5</v>
      </c>
      <c r="B7">
        <v>0.57999999999999996</v>
      </c>
      <c r="C7">
        <v>34</v>
      </c>
      <c r="D7">
        <f t="shared" si="0"/>
        <v>68</v>
      </c>
      <c r="E7">
        <f t="shared" si="1"/>
        <v>1.4705882352941176E-2</v>
      </c>
      <c r="F7">
        <f t="shared" si="2"/>
        <v>14.705882352941176</v>
      </c>
      <c r="G7">
        <f t="shared" si="3"/>
        <v>882.35294117647049</v>
      </c>
      <c r="H7">
        <f>A7-B7*R$1</f>
        <v>1.992</v>
      </c>
      <c r="I7">
        <f t="shared" si="4"/>
        <v>92.399783929111564</v>
      </c>
    </row>
    <row r="8" spans="1:20">
      <c r="A8">
        <v>4</v>
      </c>
      <c r="B8">
        <v>0.57999999999999996</v>
      </c>
      <c r="C8">
        <v>28</v>
      </c>
      <c r="D8">
        <f t="shared" si="0"/>
        <v>56</v>
      </c>
      <c r="E8">
        <f t="shared" si="1"/>
        <v>1.7857142857142856E-2</v>
      </c>
      <c r="F8">
        <f t="shared" si="2"/>
        <v>17.857142857142858</v>
      </c>
      <c r="G8">
        <f t="shared" si="3"/>
        <v>1071.4285714285716</v>
      </c>
      <c r="H8">
        <f>A8-B8*R$1</f>
        <v>2.492</v>
      </c>
      <c r="I8">
        <f t="shared" si="4"/>
        <v>112.1997376282069</v>
      </c>
    </row>
    <row r="9" spans="1:20">
      <c r="A9">
        <v>5</v>
      </c>
      <c r="B9">
        <v>0.57999999999999996</v>
      </c>
      <c r="C9">
        <v>23</v>
      </c>
      <c r="D9">
        <f t="shared" si="0"/>
        <v>46</v>
      </c>
      <c r="E9">
        <f t="shared" si="1"/>
        <v>2.1739130434782608E-2</v>
      </c>
      <c r="F9">
        <f t="shared" si="2"/>
        <v>21.739130434782609</v>
      </c>
      <c r="G9">
        <f t="shared" si="3"/>
        <v>1304.3478260869565</v>
      </c>
      <c r="H9">
        <f>A9-B9*R$1</f>
        <v>3.492</v>
      </c>
      <c r="I9">
        <f t="shared" si="4"/>
        <v>136.59098493868666</v>
      </c>
    </row>
    <row r="10" spans="1:20">
      <c r="A10">
        <v>6</v>
      </c>
      <c r="B10">
        <v>0.57999999999999996</v>
      </c>
      <c r="C10">
        <v>18</v>
      </c>
      <c r="D10">
        <f t="shared" si="0"/>
        <v>36</v>
      </c>
      <c r="E10">
        <f t="shared" si="1"/>
        <v>2.7777777777777776E-2</v>
      </c>
      <c r="F10">
        <f t="shared" si="2"/>
        <v>27.777777777777775</v>
      </c>
      <c r="G10">
        <f t="shared" si="3"/>
        <v>1666.6666666666665</v>
      </c>
      <c r="H10">
        <f>A10-B10*R$1</f>
        <v>4.492</v>
      </c>
      <c r="I10">
        <f t="shared" si="4"/>
        <v>174.53292519943292</v>
      </c>
    </row>
    <row r="11" spans="1:20">
      <c r="A11">
        <v>7</v>
      </c>
      <c r="B11">
        <v>0.57999999999999996</v>
      </c>
      <c r="C11">
        <v>14</v>
      </c>
      <c r="D11">
        <f t="shared" si="0"/>
        <v>28</v>
      </c>
      <c r="E11">
        <f t="shared" si="1"/>
        <v>3.5714285714285712E-2</v>
      </c>
      <c r="F11">
        <f t="shared" si="2"/>
        <v>35.714285714285715</v>
      </c>
      <c r="G11">
        <f t="shared" si="3"/>
        <v>2142.8571428571431</v>
      </c>
      <c r="H11">
        <f>A11-B11*R$1</f>
        <v>5.492</v>
      </c>
      <c r="I11">
        <f t="shared" si="4"/>
        <v>224.39947525641381</v>
      </c>
    </row>
    <row r="12" spans="1:20">
      <c r="A12">
        <v>10</v>
      </c>
      <c r="B12">
        <v>0.57999999999999996</v>
      </c>
      <c r="C12">
        <v>10</v>
      </c>
      <c r="D12">
        <f t="shared" si="0"/>
        <v>20</v>
      </c>
      <c r="E12">
        <f t="shared" si="1"/>
        <v>0.05</v>
      </c>
      <c r="F12">
        <f t="shared" si="2"/>
        <v>50</v>
      </c>
      <c r="G12">
        <f t="shared" si="3"/>
        <v>3000</v>
      </c>
      <c r="H12">
        <f>A12-B12*R$1</f>
        <v>8.4920000000000009</v>
      </c>
      <c r="I12">
        <f t="shared" si="4"/>
        <v>314.15926535897933</v>
      </c>
      <c r="Q12" s="1" t="s">
        <v>28</v>
      </c>
    </row>
    <row r="13" spans="1:20">
      <c r="A13">
        <v>12</v>
      </c>
      <c r="B13">
        <v>0.57999999999999996</v>
      </c>
      <c r="C13">
        <v>8</v>
      </c>
      <c r="D13">
        <f t="shared" si="0"/>
        <v>16</v>
      </c>
      <c r="E13">
        <f t="shared" si="1"/>
        <v>6.25E-2</v>
      </c>
      <c r="F13">
        <f t="shared" si="2"/>
        <v>62.5</v>
      </c>
      <c r="G13">
        <f t="shared" si="3"/>
        <v>3750</v>
      </c>
      <c r="H13">
        <f>A13-B13*R$1</f>
        <v>10.492000000000001</v>
      </c>
      <c r="I13">
        <f t="shared" si="4"/>
        <v>392.69908169872411</v>
      </c>
      <c r="Q13" t="s">
        <v>29</v>
      </c>
      <c r="R13">
        <f>24/5.2</f>
        <v>4.615384615384615</v>
      </c>
      <c r="S13" t="s">
        <v>21</v>
      </c>
    </row>
    <row r="14" spans="1:20">
      <c r="A14">
        <v>14</v>
      </c>
      <c r="B14">
        <v>0.57999999999999996</v>
      </c>
      <c r="C14">
        <v>6.5</v>
      </c>
      <c r="D14">
        <f t="shared" si="0"/>
        <v>13</v>
      </c>
      <c r="E14">
        <f t="shared" si="1"/>
        <v>7.6923076923076927E-2</v>
      </c>
      <c r="F14">
        <f t="shared" si="2"/>
        <v>76.923076923076934</v>
      </c>
      <c r="G14">
        <f t="shared" si="3"/>
        <v>4615.3846153846162</v>
      </c>
      <c r="H14">
        <f>A14-B14*R$1</f>
        <v>12.492000000000001</v>
      </c>
      <c r="I14">
        <f t="shared" si="4"/>
        <v>483.32194670612211</v>
      </c>
      <c r="Q14" t="s">
        <v>23</v>
      </c>
      <c r="R14">
        <f>(24-R13*R1)/R3</f>
        <v>442.80442804428048</v>
      </c>
      <c r="S14" t="s">
        <v>18</v>
      </c>
    </row>
    <row r="15" spans="1:20">
      <c r="A15">
        <v>16</v>
      </c>
      <c r="B15">
        <v>0.57999999999999996</v>
      </c>
      <c r="C15">
        <v>5.8</v>
      </c>
      <c r="D15">
        <f t="shared" si="0"/>
        <v>11.6</v>
      </c>
      <c r="E15">
        <f t="shared" si="1"/>
        <v>8.6206896551724144E-2</v>
      </c>
      <c r="F15">
        <f t="shared" si="2"/>
        <v>86.206896551724142</v>
      </c>
      <c r="G15">
        <f t="shared" si="3"/>
        <v>5172.4137931034484</v>
      </c>
      <c r="H15">
        <f>A15-B15*R$1</f>
        <v>14.492000000000001</v>
      </c>
      <c r="I15">
        <f t="shared" si="4"/>
        <v>541.65390579134362</v>
      </c>
      <c r="Q15" t="s">
        <v>24</v>
      </c>
      <c r="R15">
        <f>R3*R13</f>
        <v>0.12507692307692306</v>
      </c>
      <c r="S15" t="s">
        <v>25</v>
      </c>
    </row>
    <row r="16" spans="1:20">
      <c r="A16">
        <v>17</v>
      </c>
      <c r="B16">
        <v>0.57999999999999996</v>
      </c>
      <c r="C16">
        <v>5.6</v>
      </c>
      <c r="D16">
        <f t="shared" si="0"/>
        <v>11.2</v>
      </c>
      <c r="E16">
        <f t="shared" si="1"/>
        <v>8.9285714285714288E-2</v>
      </c>
      <c r="F16">
        <f t="shared" si="2"/>
        <v>89.285714285714292</v>
      </c>
      <c r="G16">
        <f t="shared" si="3"/>
        <v>5357.1428571428578</v>
      </c>
      <c r="H16">
        <f>A16-B16*R$1</f>
        <v>15.492000000000001</v>
      </c>
      <c r="I16">
        <f t="shared" si="4"/>
        <v>560.99868814103456</v>
      </c>
      <c r="Q16" t="s">
        <v>26</v>
      </c>
      <c r="R16">
        <f>R15*R14</f>
        <v>55.38461538461538</v>
      </c>
      <c r="S16" t="s">
        <v>27</v>
      </c>
    </row>
    <row r="17" spans="1:21">
      <c r="A17">
        <v>20</v>
      </c>
      <c r="B17">
        <v>0.57999999999999996</v>
      </c>
      <c r="C17">
        <v>5</v>
      </c>
      <c r="D17">
        <f t="shared" si="0"/>
        <v>10</v>
      </c>
      <c r="E17">
        <f t="shared" si="1"/>
        <v>0.1</v>
      </c>
      <c r="F17">
        <f t="shared" si="2"/>
        <v>100</v>
      </c>
      <c r="G17">
        <f t="shared" si="3"/>
        <v>6000</v>
      </c>
      <c r="H17">
        <f>A17-B17*R$1</f>
        <v>18.492000000000001</v>
      </c>
      <c r="I17">
        <f t="shared" si="4"/>
        <v>628.31853071795865</v>
      </c>
    </row>
    <row r="18" spans="1:21">
      <c r="A18">
        <v>22</v>
      </c>
      <c r="B18">
        <v>0.57999999999999996</v>
      </c>
      <c r="C18">
        <v>4.0999999999999996</v>
      </c>
      <c r="D18">
        <f t="shared" si="0"/>
        <v>8.1999999999999993</v>
      </c>
      <c r="E18">
        <f t="shared" si="1"/>
        <v>0.12195121951219513</v>
      </c>
      <c r="F18">
        <f t="shared" si="2"/>
        <v>121.95121951219514</v>
      </c>
      <c r="G18">
        <f t="shared" si="3"/>
        <v>7317.0731707317082</v>
      </c>
      <c r="H18">
        <f>A18-B18*R$1</f>
        <v>20.492000000000001</v>
      </c>
      <c r="I18">
        <f t="shared" si="4"/>
        <v>766.24211063165694</v>
      </c>
    </row>
    <row r="19" spans="1:21">
      <c r="A19">
        <v>23</v>
      </c>
      <c r="B19">
        <v>0.57999999999999996</v>
      </c>
      <c r="C19">
        <v>3.76</v>
      </c>
      <c r="D19">
        <f t="shared" si="0"/>
        <v>7.52</v>
      </c>
      <c r="E19">
        <f t="shared" si="1"/>
        <v>0.13297872340425532</v>
      </c>
      <c r="F19">
        <f t="shared" si="2"/>
        <v>132.97872340425531</v>
      </c>
      <c r="G19">
        <f t="shared" si="3"/>
        <v>7978.7234042553182</v>
      </c>
      <c r="H19">
        <f>A19-B19*R$1</f>
        <v>21.492000000000001</v>
      </c>
      <c r="I19">
        <f t="shared" si="4"/>
        <v>835.52996106111516</v>
      </c>
    </row>
    <row r="20" spans="1:21">
      <c r="A20">
        <v>24</v>
      </c>
      <c r="B20">
        <v>0.57999999999999996</v>
      </c>
      <c r="C20">
        <v>3.56</v>
      </c>
      <c r="D20">
        <f t="shared" si="0"/>
        <v>7.12</v>
      </c>
      <c r="E20">
        <f t="shared" si="1"/>
        <v>0.1404494382022472</v>
      </c>
      <c r="F20">
        <f t="shared" si="2"/>
        <v>140.44943820224719</v>
      </c>
      <c r="G20">
        <f t="shared" si="3"/>
        <v>8426.9662921348317</v>
      </c>
      <c r="H20">
        <f>A20-B20*R$1</f>
        <v>22.492000000000001</v>
      </c>
      <c r="I20">
        <f t="shared" si="4"/>
        <v>882.46984651398679</v>
      </c>
    </row>
    <row r="21" spans="1:21">
      <c r="Q21" t="s">
        <v>37</v>
      </c>
    </row>
    <row r="24" spans="1:21">
      <c r="Q24" t="s">
        <v>30</v>
      </c>
      <c r="R24" t="s">
        <v>1</v>
      </c>
      <c r="S24" t="s">
        <v>39</v>
      </c>
      <c r="T24" t="s">
        <v>6</v>
      </c>
      <c r="U24" t="s">
        <v>18</v>
      </c>
    </row>
    <row r="25" spans="1:21">
      <c r="Q25" t="s">
        <v>31</v>
      </c>
      <c r="R25">
        <v>9.4</v>
      </c>
      <c r="S25">
        <f>R25*2</f>
        <v>18.8</v>
      </c>
      <c r="T25">
        <f>1/S25*1000</f>
        <v>53.191489361702125</v>
      </c>
      <c r="U25">
        <f>2*PI()*T25</f>
        <v>334.21198442444609</v>
      </c>
    </row>
    <row r="26" spans="1:21">
      <c r="Q26" t="s">
        <v>32</v>
      </c>
      <c r="R26">
        <v>4</v>
      </c>
      <c r="S26">
        <f>R26*2</f>
        <v>8</v>
      </c>
      <c r="T26">
        <f>1/S26*1000</f>
        <v>125</v>
      </c>
      <c r="U26">
        <f>2*PI()*T26</f>
        <v>785.39816339744823</v>
      </c>
    </row>
    <row r="28" spans="1:21">
      <c r="Q28" t="s">
        <v>33</v>
      </c>
      <c r="R28">
        <v>2.8</v>
      </c>
    </row>
    <row r="31" spans="1:21">
      <c r="Q31" t="s">
        <v>34</v>
      </c>
      <c r="R31" t="s">
        <v>35</v>
      </c>
    </row>
    <row r="32" spans="1:21">
      <c r="Q32" t="s">
        <v>36</v>
      </c>
      <c r="R32">
        <v>2.2999999999999998</v>
      </c>
    </row>
    <row r="35" spans="17:19">
      <c r="Q35" t="s">
        <v>38</v>
      </c>
      <c r="R35">
        <f>R28/R3</f>
        <v>103.3210332103321</v>
      </c>
      <c r="S35" t="s">
        <v>25</v>
      </c>
    </row>
    <row r="36" spans="17:19">
      <c r="Q36" t="s">
        <v>40</v>
      </c>
      <c r="R36">
        <f>(U26-U25)/0.04</f>
        <v>11279.654474325052</v>
      </c>
      <c r="S36" t="s">
        <v>42</v>
      </c>
    </row>
    <row r="38" spans="17:19">
      <c r="Q38" t="s">
        <v>41</v>
      </c>
      <c r="R38">
        <f>R35/R36</f>
        <v>9.1599466495638892E-3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Prasad</dc:creator>
  <cp:lastModifiedBy>Name: Girvin</cp:lastModifiedBy>
  <dcterms:created xsi:type="dcterms:W3CDTF">2015-10-22T00:08:55Z</dcterms:created>
  <dcterms:modified xsi:type="dcterms:W3CDTF">2015-10-23T05:22:42Z</dcterms:modified>
</cp:coreProperties>
</file>